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lpbankvn-my.sharepoint.com/personal/minhnt_lpbank_com_vn/Documents/Desktop/"/>
    </mc:Choice>
  </mc:AlternateContent>
  <xr:revisionPtr revIDLastSave="0" documentId="8_{46452B71-6823-4510-B58B-3A015C3CBEDF}" xr6:coauthVersionLast="47" xr6:coauthVersionMax="47" xr10:uidLastSave="{00000000-0000-0000-0000-000000000000}"/>
  <bookViews>
    <workbookView xWindow="-108" yWindow="-108" windowWidth="23256" windowHeight="13896" xr2:uid="{F4DE915D-666A-4344-AED3-6B35B72F44AF}"/>
  </bookViews>
  <sheets>
    <sheet name="LPBI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H12" i="3"/>
  <c r="H13" i="3"/>
  <c r="G5" i="3"/>
</calcChain>
</file>

<file path=xl/sharedStrings.xml><?xml version="1.0" encoding="utf-8"?>
<sst xmlns="http://schemas.openxmlformats.org/spreadsheetml/2006/main" count="59" uniqueCount="47">
  <si>
    <t>DANH SÁCH THIẾT BỊ LPBI</t>
  </si>
  <si>
    <t>Stt</t>
  </si>
  <si>
    <t>Mô tả</t>
  </si>
  <si>
    <t>Số lượng</t>
  </si>
  <si>
    <t>Hiện trạng</t>
  </si>
  <si>
    <t>Đề xuất</t>
  </si>
  <si>
    <t>Cấu hình</t>
  </si>
  <si>
    <t>Đơn giá</t>
  </si>
  <si>
    <t>Thành tiền (Có VAT)</t>
  </si>
  <si>
    <t>Ghi chú</t>
  </si>
  <si>
    <t>I. Thiết bị mạng &amp; Firewall</t>
  </si>
  <si>
    <t>Firewall</t>
  </si>
  <si>
    <t>Mua mới</t>
  </si>
  <si>
    <t>Sử dụng Sonicwall NSA 5800</t>
  </si>
  <si>
    <t xml:space="preserve">Firewall Throughput:	~30 Gbps
NGFW / Threat Protection:	~24 Gbps
IPS Throughput:	~24 Gbps
SSL Inspection:	~21 Gbps
IPsec VPN Throughput:	~21 Gbps
SSL VPN Throughput:	~2 Gbps
Concurrent Sessions:	~8,000,000
RAM:	16 GB DDR4
Storage:	128 GB SSD
Cổng RJ45 GE:	24
Cổng SFP+ 10G:	8
Form factor:	1U
Nguồn:	Dual hot-swap
</t>
  </si>
  <si>
    <t>Có chức năng IDS/IPS
(Để sử dụng VPN client to site trên firewall Sonicwall phải mua license cho tính năng này)</t>
  </si>
  <si>
    <t>Loadbalancer + Waf</t>
  </si>
  <si>
    <t>Phương án 2: (Lựa chọn P/án này)
F5 R2800</t>
  </si>
  <si>
    <t>L7 requests per second: 875K
L4 connections per second: 350K
L4 HTTP requests per second: 1.8M
Maximum L4 concurrent connections: 19M
Throughput: 25 Gbps/17 Gbps L4/L7
32 GB DDR4
8-Core Intel® Atom® processor</t>
  </si>
  <si>
    <t>Có chức năng WAF
Option 36 Month: 10,6 tỷ
Option 12 Month: 7.83 tý"</t>
  </si>
  <si>
    <t>Router 1921 series (IPsec)</t>
  </si>
  <si>
    <t>Có sẵn</t>
  </si>
  <si>
    <t>LPBank hỗ trợ cho mượn</t>
  </si>
  <si>
    <t xml:space="preserve">
Gigabit Ethernet WAN	1× GE (Gi0)
Gigabit Ethernet LAN	8× GE
Throughput IPsec 100Mbps
Giao thức mã hoá: IPsec 3DES / AES128</t>
  </si>
  <si>
    <t>Kết nối VPN Ipsec site to site với C06</t>
  </si>
  <si>
    <t>Kênh truyền kết nối C06</t>
  </si>
  <si>
    <t>Kênh FPT, Viettel Nbiz băng thông 500Mb</t>
  </si>
  <si>
    <t>Thiết lập VPN kết nối với C06</t>
  </si>
  <si>
    <t>VPN Client to site</t>
  </si>
  <si>
    <t>License Appliance Ivanti  ISA6000-V</t>
  </si>
  <si>
    <t>License 3 năm cho 100 user</t>
  </si>
  <si>
    <t>Cấp VPN cho C06 vào quản trị</t>
  </si>
  <si>
    <t>Phí dịch vụ triển khai</t>
  </si>
  <si>
    <t>Gói</t>
  </si>
  <si>
    <t>Triển khai cho 02 hạng mục gồm Firewall &amp; VPN.</t>
  </si>
  <si>
    <t>Switch C9300X-24Y-E</t>
  </si>
  <si>
    <t>24 port quang 10/25G kèm SFP+</t>
  </si>
  <si>
    <t xml:space="preserve">Thiết bị F5 R2800, Firewall hỗ trợ cả cổng đồng và cổng quang.
Thiết bị Router cisco 1921 chỉ hỗ trợ cổng đồng
</t>
  </si>
  <si>
    <t>Switch 9200-24Port</t>
  </si>
  <si>
    <t>Switch 24port đồng 1G</t>
  </si>
  <si>
    <t>Làm thiết bị switch kết nối các thiết bị router và firewall phân vùng DMZ</t>
  </si>
  <si>
    <t>Tổng</t>
  </si>
  <si>
    <t>II. Máy chủ và thiết bị lưu trữ</t>
  </si>
  <si>
    <t>ProLiant DL380 Gen9</t>
  </si>
  <si>
    <t>CPU:24 Core
Memory: 128Gb
Disk: 900Gb x2
NIC: 1Gbx4 (cáp đồng)</t>
  </si>
  <si>
    <t>HSM-PS2-PL220</t>
  </si>
  <si>
    <t>NIC: 1Gb x 2 (cáp đồng)
APIs hỗ trợ: PKCS#11, CAPI/CNG, JCA/JCE, OpenSSL
Thuật toán: RSA, ECC, AES, SHA-2/3
Chuẩn bảo mật: FIPS 140-2 Level 3
Quản lý: GUI/CLI, remote, HA/WLD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</si>
</sst>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3"/>
      <color theme="1"/>
      <name val="Times New Roman"/>
      <family val="2"/>
    </font>
    <font>
      <b/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2"/>
    </font>
    <font>
      <sz val="13"/>
      <color theme="1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horizontal="left" vertical="center" wrapText="1" indent="2"/>
    </xf>
    <xf numFmtId="0" fontId="0" fillId="0" borderId="9" xfId="0" applyBorder="1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/>
    </xf>
    <xf numFmtId="43" fontId="0" fillId="0" borderId="0" xfId="0" applyNumberFormat="1"/>
    <xf numFmtId="164" fontId="0" fillId="0" borderId="1" xfId="0" applyNumberFormat="1" applyBorder="1" applyAlignment="1">
      <alignment horizontal="left" vertical="center" wrapText="1"/>
    </xf>
    <xf numFmtId="0" fontId="4" fillId="0" borderId="0" xfId="0" applyFont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3" fontId="0" fillId="0" borderId="10" xfId="0" applyNumberFormat="1" applyBorder="1" applyAlignment="1">
      <alignment vertical="center"/>
    </xf>
    <xf numFmtId="164" fontId="0" fillId="0" borderId="10" xfId="0" applyNumberFormat="1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4" borderId="10" xfId="0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3" fontId="0" fillId="0" borderId="13" xfId="0" applyNumberFormat="1" applyBorder="1" applyAlignment="1">
      <alignment vertical="center"/>
    </xf>
    <xf numFmtId="164" fontId="0" fillId="0" borderId="3" xfId="0" applyNumberFormat="1" applyBorder="1" applyAlignment="1">
      <alignment horizontal="right" vertical="center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43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top" wrapText="1"/>
    </xf>
    <xf numFmtId="43" fontId="3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457200</xdr:colOff>
      <xdr:row>3</xdr:row>
      <xdr:rowOff>57150</xdr:rowOff>
    </xdr:from>
    <xdr:to>
      <xdr:col>28</xdr:col>
      <xdr:colOff>142875</xdr:colOff>
      <xdr:row>8</xdr:row>
      <xdr:rowOff>247650</xdr:rowOff>
    </xdr:to>
    <xdr:pic>
      <xdr:nvPicPr>
        <xdr:cNvPr id="5" name="Ảnh 4">
          <a:extLst>
            <a:ext uri="{FF2B5EF4-FFF2-40B4-BE49-F238E27FC236}">
              <a16:creationId xmlns:a16="http://schemas.microsoft.com/office/drawing/2014/main" id="{D9CB6596-63F7-A11B-AA4B-BE1852071095}"/>
            </a:ext>
            <a:ext uri="{147F2762-F138-4A5C-976F-8EAC2B608ADB}">
              <a16:predDERef xmlns:a16="http://schemas.microsoft.com/office/drawing/2014/main" pred="{EEE7904C-4CB4-F3CF-A26E-B1BAF61FB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0225" y="695325"/>
          <a:ext cx="14782800" cy="6067425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419100</xdr:colOff>
      <xdr:row>6</xdr:row>
      <xdr:rowOff>381000</xdr:rowOff>
    </xdr:from>
    <xdr:to>
      <xdr:col>20</xdr:col>
      <xdr:colOff>180975</xdr:colOff>
      <xdr:row>22</xdr:row>
      <xdr:rowOff>38100</xdr:rowOff>
    </xdr:to>
    <xdr:pic>
      <xdr:nvPicPr>
        <xdr:cNvPr id="6" name="Ảnh 5">
          <a:extLst>
            <a:ext uri="{FF2B5EF4-FFF2-40B4-BE49-F238E27FC236}">
              <a16:creationId xmlns:a16="http://schemas.microsoft.com/office/drawing/2014/main" id="{C4B6F19D-6530-64A3-5668-DC54A386D708}"/>
            </a:ext>
            <a:ext uri="{147F2762-F138-4A5C-976F-8EAC2B608ADB}">
              <a16:predDERef xmlns:a16="http://schemas.microsoft.com/office/drawing/2014/main" pred="{D9CB6596-63F7-A11B-AA4B-BE1852071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26125" y="7543800"/>
          <a:ext cx="6619875" cy="7743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CC16-75BF-433A-A952-26ED109A94B2}">
  <dimension ref="A1:AD21"/>
  <sheetViews>
    <sheetView tabSelected="1" topLeftCell="A10" workbookViewId="0">
      <selection activeCell="G16" sqref="G16:H16"/>
    </sheetView>
  </sheetViews>
  <sheetFormatPr defaultRowHeight="16.5" customHeight="1"/>
  <cols>
    <col min="1" max="1" width="3.21875" bestFit="1" customWidth="1"/>
    <col min="2" max="2" width="23.21875" bestFit="1" customWidth="1"/>
    <col min="3" max="3" width="8.21875" bestFit="1" customWidth="1"/>
    <col min="4" max="4" width="10" bestFit="1" customWidth="1"/>
    <col min="5" max="5" width="30.109375" customWidth="1"/>
    <col min="6" max="6" width="42.6640625" bestFit="1" customWidth="1"/>
    <col min="7" max="7" width="21.21875" customWidth="1"/>
    <col min="8" max="8" width="22.21875" style="15" customWidth="1"/>
    <col min="9" max="9" width="32.5546875" customWidth="1"/>
    <col min="11" max="11" width="16.109375" customWidth="1"/>
  </cols>
  <sheetData>
    <row r="1" spans="1:30" ht="16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2" spans="1:30" ht="16.5" customHeight="1">
      <c r="A2" s="32"/>
      <c r="B2" s="32"/>
      <c r="C2" s="32"/>
      <c r="D2" s="32"/>
      <c r="E2" s="32"/>
      <c r="F2" s="32"/>
      <c r="G2" s="32"/>
      <c r="H2" s="32"/>
      <c r="I2" s="32"/>
    </row>
    <row r="3" spans="1:30" ht="17.25">
      <c r="A3" s="2" t="s">
        <v>1</v>
      </c>
      <c r="B3" s="3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14" t="s">
        <v>8</v>
      </c>
      <c r="I3" s="2" t="s">
        <v>9</v>
      </c>
    </row>
    <row r="4" spans="1:30">
      <c r="A4" s="33" t="s">
        <v>10</v>
      </c>
      <c r="B4" s="33"/>
      <c r="C4" s="33"/>
      <c r="D4" s="33"/>
      <c r="E4" s="33"/>
      <c r="F4" s="33"/>
      <c r="G4" s="33"/>
      <c r="H4" s="33"/>
      <c r="I4" s="33"/>
    </row>
    <row r="5" spans="1:30" ht="225" customHeight="1">
      <c r="A5" s="8">
        <v>1</v>
      </c>
      <c r="B5" s="12" t="s">
        <v>11</v>
      </c>
      <c r="C5" s="7">
        <v>2</v>
      </c>
      <c r="D5" s="8" t="s">
        <v>12</v>
      </c>
      <c r="E5" s="4" t="s">
        <v>13</v>
      </c>
      <c r="F5" s="4" t="s">
        <v>14</v>
      </c>
      <c r="G5" s="16">
        <f>H5/C5</f>
        <v>2645588000</v>
      </c>
      <c r="H5" s="16">
        <v>5291176000</v>
      </c>
      <c r="I5" s="4" t="s">
        <v>15</v>
      </c>
    </row>
    <row r="6" spans="1:30" ht="119.25">
      <c r="A6" s="34">
        <v>2</v>
      </c>
      <c r="B6" s="35" t="s">
        <v>16</v>
      </c>
      <c r="C6" s="7">
        <v>2</v>
      </c>
      <c r="D6" s="8" t="s">
        <v>12</v>
      </c>
      <c r="E6" s="4" t="s">
        <v>17</v>
      </c>
      <c r="F6" s="4" t="s">
        <v>18</v>
      </c>
      <c r="G6" s="16">
        <f>H6/2</f>
        <v>3915000000</v>
      </c>
      <c r="H6" s="16">
        <v>7830000000</v>
      </c>
      <c r="I6" s="4" t="s">
        <v>19</v>
      </c>
    </row>
    <row r="7" spans="1:30" ht="84.75">
      <c r="A7" s="36">
        <v>3</v>
      </c>
      <c r="B7" s="37" t="s">
        <v>20</v>
      </c>
      <c r="C7" s="36">
        <v>2</v>
      </c>
      <c r="D7" s="36" t="s">
        <v>21</v>
      </c>
      <c r="E7" s="37" t="s">
        <v>22</v>
      </c>
      <c r="F7" s="40" t="s">
        <v>23</v>
      </c>
      <c r="G7" s="39">
        <v>0</v>
      </c>
      <c r="H7" s="39">
        <v>0</v>
      </c>
      <c r="I7" s="37" t="s">
        <v>24</v>
      </c>
    </row>
    <row r="8" spans="1:30" ht="17.25">
      <c r="A8" s="36">
        <v>4</v>
      </c>
      <c r="B8" s="37" t="s">
        <v>25</v>
      </c>
      <c r="C8" s="36">
        <v>2</v>
      </c>
      <c r="D8" s="36" t="s">
        <v>21</v>
      </c>
      <c r="E8" s="37" t="s">
        <v>22</v>
      </c>
      <c r="F8" s="38" t="s">
        <v>26</v>
      </c>
      <c r="G8" s="39">
        <v>0</v>
      </c>
      <c r="H8" s="39">
        <v>0</v>
      </c>
      <c r="I8" s="37" t="s">
        <v>27</v>
      </c>
    </row>
    <row r="9" spans="1:30" ht="31.5" customHeight="1">
      <c r="A9" s="5">
        <v>5</v>
      </c>
      <c r="B9" s="10" t="s">
        <v>28</v>
      </c>
      <c r="C9" s="5">
        <v>2</v>
      </c>
      <c r="D9" s="5" t="s">
        <v>12</v>
      </c>
      <c r="E9" s="10" t="s">
        <v>29</v>
      </c>
      <c r="F9" s="10" t="s">
        <v>30</v>
      </c>
      <c r="G9" s="27">
        <v>1665690000</v>
      </c>
      <c r="H9" s="27">
        <v>1665690000</v>
      </c>
      <c r="I9" s="10" t="s">
        <v>31</v>
      </c>
    </row>
    <row r="10" spans="1:30" ht="31.5" customHeight="1">
      <c r="A10" s="5">
        <v>6</v>
      </c>
      <c r="B10" s="10" t="s">
        <v>32</v>
      </c>
      <c r="C10" s="5">
        <v>1</v>
      </c>
      <c r="D10" s="5" t="s">
        <v>33</v>
      </c>
      <c r="E10" s="35" t="s">
        <v>34</v>
      </c>
      <c r="F10" s="10"/>
      <c r="G10" s="27">
        <v>220000000</v>
      </c>
      <c r="H10" s="27">
        <v>220000000</v>
      </c>
      <c r="I10" s="10"/>
    </row>
    <row r="11" spans="1:30" ht="84.75">
      <c r="A11" s="6">
        <v>7</v>
      </c>
      <c r="B11" s="9" t="s">
        <v>35</v>
      </c>
      <c r="C11" s="13">
        <v>2</v>
      </c>
      <c r="D11" s="6" t="s">
        <v>12</v>
      </c>
      <c r="E11" s="19" t="s">
        <v>12</v>
      </c>
      <c r="F11" s="20" t="s">
        <v>36</v>
      </c>
      <c r="G11" s="21">
        <v>1055464560</v>
      </c>
      <c r="H11" s="22">
        <v>2110929120</v>
      </c>
      <c r="I11" s="23" t="s">
        <v>37</v>
      </c>
    </row>
    <row r="12" spans="1:30" ht="33.75">
      <c r="A12" s="18">
        <v>8</v>
      </c>
      <c r="B12" s="24" t="s">
        <v>38</v>
      </c>
      <c r="C12" s="18">
        <v>2</v>
      </c>
      <c r="D12" s="25" t="s">
        <v>12</v>
      </c>
      <c r="E12" s="20" t="s">
        <v>12</v>
      </c>
      <c r="F12" s="20" t="s">
        <v>39</v>
      </c>
      <c r="G12" s="26">
        <v>104523000</v>
      </c>
      <c r="H12" s="22">
        <f>G12*C12</f>
        <v>209046000</v>
      </c>
      <c r="I12" s="23" t="s">
        <v>40</v>
      </c>
    </row>
    <row r="13" spans="1:30" ht="69" customHeight="1">
      <c r="A13" s="42" t="s">
        <v>41</v>
      </c>
      <c r="B13" s="42"/>
      <c r="C13" s="42"/>
      <c r="D13" s="42"/>
      <c r="E13" s="42"/>
      <c r="F13" s="42"/>
      <c r="G13" s="42"/>
      <c r="H13" s="41">
        <f>SUM(H5:H12)</f>
        <v>17326841120</v>
      </c>
      <c r="I13" s="11"/>
      <c r="AD13" s="17"/>
    </row>
    <row r="14" spans="1:30">
      <c r="A14" s="28" t="s">
        <v>42</v>
      </c>
      <c r="B14" s="29"/>
      <c r="C14" s="29"/>
      <c r="D14" s="29"/>
      <c r="E14" s="29"/>
      <c r="F14" s="29"/>
      <c r="G14" s="29"/>
      <c r="H14" s="29"/>
      <c r="I14" s="30"/>
    </row>
    <row r="15" spans="1:30" ht="67.5">
      <c r="A15" s="43">
        <v>1</v>
      </c>
      <c r="B15" s="44" t="s">
        <v>43</v>
      </c>
      <c r="C15" s="36">
        <v>2</v>
      </c>
      <c r="D15" s="36" t="s">
        <v>21</v>
      </c>
      <c r="E15" s="44" t="s">
        <v>22</v>
      </c>
      <c r="F15" s="45" t="s">
        <v>44</v>
      </c>
      <c r="G15" s="39">
        <v>0</v>
      </c>
      <c r="H15" s="39">
        <v>0</v>
      </c>
      <c r="I15" s="45"/>
    </row>
    <row r="16" spans="1:30" ht="101.25">
      <c r="A16" s="36">
        <v>2</v>
      </c>
      <c r="B16" s="44" t="s">
        <v>45</v>
      </c>
      <c r="C16" s="36">
        <v>2</v>
      </c>
      <c r="D16" s="36" t="s">
        <v>21</v>
      </c>
      <c r="E16" s="44" t="s">
        <v>22</v>
      </c>
      <c r="F16" s="46" t="s">
        <v>46</v>
      </c>
      <c r="G16" s="39">
        <v>0</v>
      </c>
      <c r="H16" s="39">
        <v>0</v>
      </c>
      <c r="I16" s="47"/>
    </row>
    <row r="17" spans="14:14"/>
    <row r="21" spans="14:14">
      <c r="N21" s="1"/>
    </row>
  </sheetData>
  <mergeCells count="4">
    <mergeCell ref="A14:I14"/>
    <mergeCell ref="A1:I2"/>
    <mergeCell ref="A4:I4"/>
    <mergeCell ref="A13:G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Thành Minh</dc:creator>
  <cp:keywords/>
  <dc:description/>
  <cp:lastModifiedBy/>
  <cp:revision/>
  <dcterms:created xsi:type="dcterms:W3CDTF">2026-01-20T07:47:47Z</dcterms:created>
  <dcterms:modified xsi:type="dcterms:W3CDTF">2026-02-06T06:49:49Z</dcterms:modified>
  <cp:category/>
  <cp:contentStatus/>
</cp:coreProperties>
</file>